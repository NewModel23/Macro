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guerrerop\Downloads\"/>
    </mc:Choice>
  </mc:AlternateContent>
  <xr:revisionPtr revIDLastSave="0" documentId="13_ncr:1_{E05813F0-8990-4878-8772-59451810F5E3}" xr6:coauthVersionLast="41" xr6:coauthVersionMax="41" xr10:uidLastSave="{00000000-0000-0000-0000-000000000000}"/>
  <bookViews>
    <workbookView xWindow="20370" yWindow="-120" windowWidth="29040" windowHeight="15990" xr2:uid="{42FCD765-C43C-46A2-8856-64800F4CBB2A}"/>
  </bookViews>
  <sheets>
    <sheet name="Hoja1" sheetId="1" r:id="rId1"/>
    <sheet name="Sheet1" sheetId="2" r:id="rId2"/>
  </sheets>
  <definedNames>
    <definedName name="CELDAFA">Hoja1!$DS$14</definedName>
    <definedName name="CELDAFB">Hoja1!$DS$24</definedName>
    <definedName name="CELDAFC">Hoja1!$DS$32</definedName>
    <definedName name="CELDAFD">Hoja1!$DS$36</definedName>
    <definedName name="CELDAFINANCIEROS">Hoja1!$D$36</definedName>
    <definedName name="CELDAGASTOS">Hoja1!$D$24</definedName>
    <definedName name="CELDAINGRESOS">Hoja1!$D$14</definedName>
    <definedName name="CELDAINVERSION">Hoja1!$D$32</definedName>
    <definedName name="FINANCIEROS">Hoja1!$B$40</definedName>
    <definedName name="FORMULA1">Hoja1!$D$14:$D$21</definedName>
    <definedName name="FORMULA2">Hoja1!$D$24:$D$30</definedName>
    <definedName name="FORMULA3">Hoja1!$D$32:$D$34</definedName>
    <definedName name="FORMULA4">Hoja1!$D$36:$D$40</definedName>
    <definedName name="FORMULAFA">Hoja1!$DS$14:$DS$21</definedName>
    <definedName name="FORMULAFB">Hoja1!$DS$24:$DS$30</definedName>
    <definedName name="FORMULAFC">Hoja1!$DS$32:$DS$34</definedName>
    <definedName name="FORMULAFD">Hoja1!$DS$36:$DS$40</definedName>
    <definedName name="GASTOS">Hoja1!$B$30</definedName>
    <definedName name="INVERSION">Hoja1!$B$34</definedName>
    <definedName name="SALDOSBANCARIOS">Hoja1!$B$10</definedName>
    <definedName name="SELEC1">Hoja1!$B$21</definedName>
    <definedName name="TITULOFINANCIEROS">Hoja1!$B$35</definedName>
    <definedName name="TITULOGASTOS">Hoja1!$B$23</definedName>
    <definedName name="TITULOINGRESOS">Hoja1!$B$13</definedName>
    <definedName name="TITULOINVERSION">Hoja1!$B$31</definedName>
    <definedName name="TITULOSALDOS">Hoja1!$B$7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S21" i="1" l="1"/>
  <c r="DS20" i="1"/>
  <c r="DS19" i="1"/>
  <c r="DS18" i="1"/>
  <c r="DS17" i="1"/>
  <c r="DS16" i="1"/>
  <c r="D21" i="1"/>
  <c r="D20" i="1"/>
  <c r="D19" i="1"/>
  <c r="D18" i="1"/>
  <c r="D17" i="1"/>
  <c r="D16" i="1"/>
  <c r="D15" i="1"/>
  <c r="DS15" i="1" s="1"/>
  <c r="D30" i="1"/>
  <c r="DS30" i="1" s="1"/>
  <c r="D29" i="1"/>
  <c r="DS29" i="1" s="1"/>
  <c r="D28" i="1"/>
  <c r="DS28" i="1" s="1"/>
  <c r="D27" i="1"/>
  <c r="DS27" i="1" s="1"/>
  <c r="D26" i="1"/>
  <c r="DS26" i="1" s="1"/>
  <c r="D25" i="1"/>
  <c r="DS25" i="1" s="1"/>
  <c r="D40" i="1" l="1"/>
  <c r="DS40" i="1" s="1"/>
  <c r="D39" i="1"/>
  <c r="DS39" i="1" s="1"/>
  <c r="D38" i="1"/>
  <c r="DS38" i="1" s="1"/>
  <c r="D37" i="1"/>
  <c r="DS37" i="1" s="1"/>
  <c r="D34" i="1" l="1"/>
  <c r="DS34" i="1" s="1"/>
  <c r="D33" i="1"/>
  <c r="DS33" i="1" s="1"/>
  <c r="A16" i="2" l="1"/>
  <c r="D32" i="1" l="1"/>
  <c r="DS32" i="1" s="1"/>
  <c r="D36" i="1"/>
  <c r="DS36" i="1" s="1"/>
  <c r="D24" i="1"/>
  <c r="DS24" i="1" s="1"/>
  <c r="D14" i="1" l="1"/>
  <c r="DS14" i="1" s="1"/>
  <c r="EH9" i="1"/>
  <c r="EI9" i="1"/>
  <c r="EJ9" i="1"/>
  <c r="EK9" i="1"/>
  <c r="EL9" i="1"/>
  <c r="EM9" i="1"/>
  <c r="EN9" i="1"/>
  <c r="EO9" i="1"/>
  <c r="EP9" i="1"/>
  <c r="EQ9" i="1"/>
  <c r="ER9" i="1"/>
  <c r="ES9" i="1"/>
  <c r="ES10" i="1" l="1"/>
  <c r="Q7" i="1" s="1"/>
  <c r="ER10" i="1"/>
  <c r="P7" i="1" s="1"/>
  <c r="EQ10" i="1"/>
  <c r="EP10" i="1"/>
  <c r="N7" i="1" s="1"/>
  <c r="EO10" i="1"/>
  <c r="M7" i="1" s="1"/>
  <c r="EN10" i="1"/>
  <c r="L7" i="1" s="1"/>
  <c r="EM10" i="1"/>
  <c r="EL10" i="1"/>
  <c r="J7" i="1" s="1"/>
  <c r="EK10" i="1"/>
  <c r="I7" i="1" s="1"/>
  <c r="EJ10" i="1"/>
  <c r="H7" i="1" s="1"/>
  <c r="EI10" i="1"/>
  <c r="EH10" i="1"/>
  <c r="F7" i="1" s="1"/>
  <c r="O7" i="1" l="1"/>
  <c r="K7" i="1"/>
  <c r="G7" i="1"/>
  <c r="S6" i="1" l="1"/>
  <c r="T6" i="1" s="1"/>
  <c r="T7" i="1" s="1"/>
  <c r="BT7" i="1" s="1"/>
  <c r="R7" i="1"/>
  <c r="BR7" i="1" s="1"/>
  <c r="S7" i="1" l="1"/>
  <c r="BS7" i="1" s="1"/>
  <c r="U6" i="1"/>
  <c r="V6" i="1" l="1"/>
  <c r="U7" i="1"/>
  <c r="BU7" i="1" s="1"/>
  <c r="V7" i="1" l="1"/>
  <c r="BV7" i="1" s="1"/>
  <c r="W6" i="1"/>
  <c r="W7" i="1" l="1"/>
  <c r="BW7" i="1" s="1"/>
  <c r="X6" i="1"/>
  <c r="X7" i="1" l="1"/>
  <c r="BX7" i="1" s="1"/>
  <c r="Y6" i="1"/>
  <c r="Z6" i="1" l="1"/>
  <c r="Y7" i="1"/>
  <c r="BY7" i="1" s="1"/>
  <c r="Z7" i="1" l="1"/>
  <c r="BZ7" i="1" s="1"/>
  <c r="AA6" i="1"/>
  <c r="AA7" i="1" l="1"/>
  <c r="CA7" i="1" s="1"/>
  <c r="AB6" i="1"/>
  <c r="AB7" i="1" l="1"/>
  <c r="CB7" i="1" s="1"/>
  <c r="AC6" i="1"/>
  <c r="AD6" i="1" l="1"/>
  <c r="AC7" i="1"/>
  <c r="CC7" i="1" s="1"/>
  <c r="AD7" i="1" l="1"/>
  <c r="CD7" i="1" s="1"/>
  <c r="AE6" i="1"/>
  <c r="AE7" i="1" l="1"/>
  <c r="CE7" i="1" s="1"/>
  <c r="AF6" i="1"/>
  <c r="AF7" i="1" l="1"/>
  <c r="CF7" i="1" s="1"/>
  <c r="AG6" i="1"/>
  <c r="AH6" i="1" l="1"/>
  <c r="AG7" i="1"/>
  <c r="CG7" i="1" s="1"/>
  <c r="AH7" i="1" l="1"/>
  <c r="CH7" i="1" s="1"/>
  <c r="AI6" i="1"/>
  <c r="AI7" i="1" l="1"/>
  <c r="CI7" i="1" s="1"/>
  <c r="AJ6" i="1"/>
  <c r="AJ7" i="1" l="1"/>
  <c r="CJ7" i="1" s="1"/>
  <c r="AK6" i="1"/>
  <c r="AL6" i="1" l="1"/>
  <c r="AK7" i="1"/>
  <c r="CK7" i="1" s="1"/>
  <c r="AL7" i="1" l="1"/>
  <c r="CL7" i="1" s="1"/>
  <c r="AM6" i="1"/>
  <c r="AM7" i="1" l="1"/>
  <c r="CM7" i="1" s="1"/>
  <c r="AN6" i="1"/>
  <c r="AN7" i="1" l="1"/>
  <c r="CN7" i="1" s="1"/>
  <c r="AO6" i="1"/>
  <c r="AP6" i="1" l="1"/>
  <c r="AO7" i="1"/>
  <c r="CO7" i="1" s="1"/>
  <c r="AP7" i="1" l="1"/>
  <c r="CP7" i="1" s="1"/>
  <c r="AQ6" i="1"/>
  <c r="AQ7" i="1" l="1"/>
  <c r="CQ7" i="1" s="1"/>
  <c r="AR6" i="1"/>
  <c r="AR7" i="1" l="1"/>
  <c r="CR7" i="1" s="1"/>
  <c r="AS6" i="1"/>
  <c r="AT6" i="1" l="1"/>
  <c r="AS7" i="1"/>
  <c r="CS7" i="1" s="1"/>
  <c r="AT7" i="1" l="1"/>
  <c r="CT7" i="1" s="1"/>
  <c r="AU6" i="1"/>
  <c r="AU7" i="1" l="1"/>
  <c r="CU7" i="1" s="1"/>
  <c r="AV6" i="1"/>
  <c r="AV7" i="1" l="1"/>
  <c r="CV7" i="1" s="1"/>
  <c r="AW6" i="1"/>
  <c r="AX6" i="1" l="1"/>
  <c r="AW7" i="1"/>
  <c r="CW7" i="1" s="1"/>
  <c r="AX7" i="1" l="1"/>
  <c r="CX7" i="1" s="1"/>
  <c r="AY6" i="1"/>
  <c r="AY7" i="1" l="1"/>
  <c r="CY7" i="1" s="1"/>
  <c r="AZ6" i="1"/>
  <c r="AZ7" i="1" l="1"/>
  <c r="CZ7" i="1" s="1"/>
  <c r="BA6" i="1"/>
  <c r="BB6" i="1" l="1"/>
  <c r="BA7" i="1"/>
  <c r="DA7" i="1" s="1"/>
  <c r="BB7" i="1" l="1"/>
  <c r="DB7" i="1" s="1"/>
  <c r="BC6" i="1"/>
  <c r="BC7" i="1" l="1"/>
  <c r="DC7" i="1" s="1"/>
  <c r="BD6" i="1"/>
  <c r="BD7" i="1" l="1"/>
  <c r="DD7" i="1" s="1"/>
  <c r="BE6" i="1"/>
  <c r="BF6" i="1" l="1"/>
  <c r="BE7" i="1"/>
  <c r="DE7" i="1" s="1"/>
  <c r="BF7" i="1" l="1"/>
  <c r="DF7" i="1" s="1"/>
  <c r="BG6" i="1"/>
  <c r="BG7" i="1" l="1"/>
  <c r="DG7" i="1" s="1"/>
  <c r="BH6" i="1"/>
  <c r="BH7" i="1" l="1"/>
  <c r="DH7" i="1" s="1"/>
  <c r="BI6" i="1"/>
  <c r="BJ6" i="1" l="1"/>
  <c r="BI7" i="1"/>
  <c r="DI7" i="1" s="1"/>
  <c r="BJ7" i="1" l="1"/>
  <c r="DJ7" i="1" s="1"/>
  <c r="BK6" i="1"/>
  <c r="BK7" i="1" l="1"/>
  <c r="DK7" i="1" s="1"/>
  <c r="BL6" i="1"/>
  <c r="BL7" i="1" l="1"/>
  <c r="DL7" i="1" s="1"/>
  <c r="BM6" i="1"/>
  <c r="BN6" i="1" l="1"/>
  <c r="BM7" i="1"/>
  <c r="DM7" i="1" s="1"/>
  <c r="BN7" i="1" l="1"/>
  <c r="DN7" i="1" s="1"/>
  <c r="BO6" i="1"/>
  <c r="BP6" i="1" l="1"/>
  <c r="BO7" i="1"/>
  <c r="DO7" i="1" s="1"/>
  <c r="BP7" i="1" l="1"/>
  <c r="DP7" i="1" s="1"/>
  <c r="BQ6" i="1"/>
  <c r="BQ7" i="1" s="1"/>
  <c r="DQ7" i="1" s="1"/>
</calcChain>
</file>

<file path=xl/sharedStrings.xml><?xml version="1.0" encoding="utf-8"?>
<sst xmlns="http://schemas.openxmlformats.org/spreadsheetml/2006/main" count="147" uniqueCount="33">
  <si>
    <t>FLUJO DE CAJA</t>
  </si>
  <si>
    <t>PERÍODO CONTABLE</t>
  </si>
  <si>
    <t>PRESUPUESTO</t>
  </si>
  <si>
    <t>FLUJO CAJA</t>
  </si>
  <si>
    <t>EJECUTADO</t>
  </si>
  <si>
    <t>SALDO</t>
  </si>
  <si>
    <t>FECHA INICIAL</t>
  </si>
  <si>
    <t>FECHA FINAL</t>
  </si>
  <si>
    <t>EFECTIVO PERÍODO FINAL</t>
  </si>
  <si>
    <t>TOTAL</t>
  </si>
  <si>
    <t>PRESUPUESTO POR INGRESOS</t>
  </si>
  <si>
    <t>PRESUPUESTO POR GASTOS</t>
  </si>
  <si>
    <t>PRESUPUESTO DE INVERSIÓN</t>
  </si>
  <si>
    <t>PRESUPUESTO POR GASTOS FINANCIEROS</t>
  </si>
  <si>
    <t>SALDOS</t>
  </si>
  <si>
    <t>MES</t>
  </si>
  <si>
    <t>TOTAL CAJA Y BANCOS</t>
  </si>
  <si>
    <t>CONDOMINIOS TRELLIUM</t>
  </si>
  <si>
    <t>SUBTOTALES</t>
  </si>
  <si>
    <t>CUENTA CONTABLE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</si>
  <si>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</si>
  <si>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</si>
  <si>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</si>
  <si>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</si>
  <si>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</si>
  <si>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</si>
  <si>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</si>
  <si>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</si>
  <si>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</si>
  <si>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</si>
  <si>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</si>
  <si>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</si>
  <si>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PRESUPUESTO POR GASTOS OPERATIVOS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</si>
</sst>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164" formatCode="dd/mm/yyyy;@"/>
    <numFmt numFmtId="165" formatCode="mmmm/yyyy"/>
    <numFmt numFmtId="166" formatCode="000\-000\-000\-00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sz val="10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dotted">
        <color theme="4"/>
      </left>
      <right style="dotted">
        <color theme="4"/>
      </right>
      <top style="dotted">
        <color theme="4"/>
      </top>
      <bottom style="dotted">
        <color theme="4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dotted">
        <color theme="4"/>
      </left>
      <right/>
      <top style="dotted">
        <color theme="4"/>
      </top>
      <bottom style="dotted">
        <color theme="4"/>
      </bottom>
      <diagonal/>
    </border>
    <border>
      <left style="dotted">
        <color rgb="FFFF0000"/>
      </left>
      <right/>
      <top style="dotted">
        <color rgb="FFFF0000"/>
      </top>
      <bottom style="dotted">
        <color rgb="FFFF0000"/>
      </bottom>
      <diagonal/>
    </border>
  </borders>
  <cellStyleXfs count="1">
    <xf numFmtId="0" fontId="0" fillId="0" borderId="0"/>
  </cellStyleXfs>
  <cellXfs count="42">
    <xf numFmtId="0" fontId="0" fillId="0" borderId="0" xfId="0"/>
    <xf numFmtId="4" fontId="0" fillId="2" borderId="0" xfId="0" applyNumberFormat="1" applyFill="1"/>
    <xf numFmtId="4" fontId="0" fillId="3" borderId="0" xfId="0" applyNumberFormat="1" applyFill="1"/>
    <xf numFmtId="4" fontId="2" fillId="3" borderId="0" xfId="0" applyNumberFormat="1" applyFont="1" applyFill="1" applyAlignment="1">
      <alignment horizontal="center" vertical="center"/>
    </xf>
    <xf numFmtId="4" fontId="0" fillId="3" borderId="0" xfId="0" applyNumberFormat="1" applyFill="1" applyAlignment="1">
      <alignment horizontal="center" vertical="center"/>
    </xf>
    <xf numFmtId="4" fontId="2" fillId="6" borderId="0" xfId="0" applyNumberFormat="1" applyFont="1" applyFill="1" applyAlignment="1">
      <alignment horizontal="center" vertical="center"/>
    </xf>
    <xf numFmtId="4" fontId="1" fillId="3" borderId="0" xfId="0" applyNumberFormat="1" applyFont="1" applyFill="1" applyAlignment="1">
      <alignment horizontal="center"/>
    </xf>
    <xf numFmtId="164" fontId="2" fillId="6" borderId="0" xfId="0" applyNumberFormat="1" applyFont="1" applyFill="1" applyAlignment="1">
      <alignment horizontal="center" vertical="center"/>
    </xf>
    <xf numFmtId="4" fontId="2" fillId="7" borderId="0" xfId="0" applyNumberFormat="1" applyFont="1" applyFill="1" applyAlignment="1">
      <alignment horizontal="center" vertical="center"/>
    </xf>
    <xf numFmtId="4" fontId="2" fillId="5" borderId="0" xfId="0" applyNumberFormat="1" applyFont="1" applyFill="1" applyAlignment="1">
      <alignment horizontal="center" vertical="center"/>
    </xf>
    <xf numFmtId="164" fontId="0" fillId="5" borderId="0" xfId="0" applyNumberFormat="1" applyFill="1" applyAlignment="1">
      <alignment horizontal="center" vertical="center"/>
    </xf>
    <xf numFmtId="4" fontId="0" fillId="7" borderId="0" xfId="0" applyNumberFormat="1" applyFill="1"/>
    <xf numFmtId="4" fontId="5" fillId="3" borderId="0" xfId="0" applyNumberFormat="1" applyFont="1" applyFill="1" applyAlignment="1">
      <alignment horizontal="center" vertical="center"/>
    </xf>
    <xf numFmtId="4" fontId="6" fillId="2" borderId="0" xfId="0" applyNumberFormat="1" applyFont="1" applyFill="1" applyAlignment="1">
      <alignment horizontal="center" vertical="center"/>
    </xf>
    <xf numFmtId="4" fontId="4" fillId="2" borderId="0" xfId="0" applyNumberFormat="1" applyFont="1" applyFill="1" applyAlignment="1">
      <alignment horizontal="left" vertical="center"/>
    </xf>
    <xf numFmtId="4" fontId="6" fillId="3" borderId="0" xfId="0" applyNumberFormat="1" applyFont="1" applyFill="1" applyAlignment="1">
      <alignment horizontal="center" vertical="center"/>
    </xf>
    <xf numFmtId="4" fontId="6" fillId="2" borderId="0" xfId="0" applyNumberFormat="1" applyFont="1" applyFill="1"/>
    <xf numFmtId="4" fontId="0" fillId="4" borderId="1" xfId="0" applyNumberFormat="1" applyFill="1" applyBorder="1"/>
    <xf numFmtId="4" fontId="6" fillId="3" borderId="0" xfId="0" applyNumberFormat="1" applyFont="1" applyFill="1"/>
    <xf numFmtId="4" fontId="3" fillId="3" borderId="0" xfId="0" applyNumberFormat="1" applyFont="1" applyFill="1"/>
    <xf numFmtId="4" fontId="0" fillId="4" borderId="2" xfId="0" applyNumberFormat="1" applyFill="1" applyBorder="1"/>
    <xf numFmtId="4" fontId="0" fillId="5" borderId="2" xfId="0" applyNumberFormat="1" applyFill="1" applyBorder="1"/>
    <xf numFmtId="4" fontId="4" fillId="9" borderId="0" xfId="0" applyNumberFormat="1" applyFont="1" applyFill="1" applyAlignment="1">
      <alignment horizontal="left" vertical="center"/>
    </xf>
    <xf numFmtId="4" fontId="4" fillId="9" borderId="0" xfId="0" applyNumberFormat="1" applyFont="1" applyFill="1"/>
    <xf numFmtId="4" fontId="5" fillId="8" borderId="0" xfId="0" applyNumberFormat="1" applyFont="1" applyFill="1" applyAlignment="1">
      <alignment horizontal="center" vertical="center"/>
    </xf>
    <xf numFmtId="4" fontId="0" fillId="10" borderId="0" xfId="0" applyNumberFormat="1" applyFill="1" applyAlignment="1">
      <alignment horizontal="center" vertical="center"/>
    </xf>
    <xf numFmtId="165" fontId="0" fillId="10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/>
    </xf>
    <xf numFmtId="4" fontId="0" fillId="3" borderId="0" xfId="0" applyNumberFormat="1" applyFill="1" applyAlignment="1">
      <alignment horizontal="center"/>
    </xf>
    <xf numFmtId="4" fontId="7" fillId="7" borderId="0" xfId="0" applyNumberFormat="1" applyFont="1" applyFill="1" applyAlignment="1">
      <alignment horizontal="center" vertical="center"/>
    </xf>
    <xf numFmtId="4" fontId="0" fillId="4" borderId="3" xfId="0" applyNumberFormat="1" applyFill="1" applyBorder="1"/>
    <xf numFmtId="4" fontId="8" fillId="3" borderId="0" xfId="0" applyNumberFormat="1" applyFont="1" applyFill="1"/>
    <xf numFmtId="4" fontId="0" fillId="5" borderId="4" xfId="0" applyNumberFormat="1" applyFill="1" applyBorder="1"/>
    <xf numFmtId="4" fontId="0" fillId="11" borderId="0" xfId="0" applyNumberFormat="1" applyFill="1"/>
    <xf numFmtId="166" fontId="0" fillId="11" borderId="0" xfId="0" applyNumberFormat="1" applyFill="1"/>
    <xf numFmtId="166" fontId="0" fillId="3" borderId="0" xfId="0" applyNumberFormat="1" applyFill="1"/>
    <xf numFmtId="166" fontId="0" fillId="3" borderId="0" xfId="0" applyNumberFormat="1" applyFill="1" applyAlignment="1">
      <alignment horizontal="center" vertical="center"/>
    </xf>
    <xf numFmtId="3" fontId="10" fillId="3" borderId="0" xfId="0" applyNumberFormat="1" applyFont="1" applyFill="1"/>
    <xf numFmtId="4" fontId="4" fillId="10" borderId="0" xfId="0" applyNumberFormat="1" applyFont="1" applyFill="1" applyAlignment="1">
      <alignment horizontal="left" vertical="center"/>
    </xf>
    <xf numFmtId="4" fontId="0" fillId="4" borderId="0" xfId="0" applyNumberFormat="1" applyFill="1"/>
    <xf numFmtId="4" fontId="0" fillId="5" borderId="0" xfId="0" applyNumberFormat="1" applyFill="1"/>
    <xf numFmtId="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0</xdr:row>
          <xdr:rowOff>142875</xdr:rowOff>
        </xdr:from>
        <xdr:to>
          <xdr:col>1</xdr:col>
          <xdr:colOff>171450</xdr:colOff>
          <xdr:row>0</xdr:row>
          <xdr:rowOff>390525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LLAMAR PRESUPUESTO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9C10-9125-4C2E-A549-64AA74114A46}">
  <sheetPr codeName="Hoja1"/>
  <dimension ref="A1:ES40"/>
  <sheetViews>
    <sheetView tabSelected="1" workbookViewId="0">
      <pane ySplit="11" topLeftCell="A12" activePane="bottomLeft" state="frozen"/>
      <selection pane="bottomLeft" activeCell="DV12" sqref="DV12"/>
    </sheetView>
  </sheetViews>
  <sheetFormatPr defaultColWidth="11.42578125" defaultRowHeight="15" x14ac:dyDescent="0.25"/>
  <cols>
    <col min="1" max="1" width="21.85546875" style="35" customWidth="1"/>
    <col min="2" max="2" width="33" style="2" customWidth="1"/>
    <col min="3" max="3" width="0.7109375" style="2" customWidth="1"/>
    <col min="4" max="4" width="14.28515625" style="2" customWidth="1"/>
    <col min="5" max="5" width="0.7109375" style="2" customWidth="1"/>
    <col min="6" max="17" width="16.7109375" style="2" hidden="1" customWidth="1"/>
    <col min="18" max="121" width="11.42578125" style="2" hidden="1" customWidth="1"/>
    <col min="122" max="122" width="11.42578125" style="2" customWidth="1"/>
    <col min="123" max="123" width="15.42578125" style="2" customWidth="1"/>
    <col min="124" max="137" width="11.42578125" style="2"/>
    <col min="138" max="138" width="18.7109375" style="2" customWidth="1"/>
    <col min="139" max="149" width="20.7109375" style="2" customWidth="1"/>
    <col min="150" max="16384" width="11.42578125" style="2"/>
  </cols>
  <sheetData>
    <row r="1" spans="1:149" s="33" customFormat="1" ht="42.75" customHeight="1" x14ac:dyDescent="0.25">
      <c r="A1" s="34"/>
    </row>
    <row r="2" spans="1:149" x14ac:dyDescent="0.25">
      <c r="DT2" s="37"/>
    </row>
    <row r="3" spans="1:149" x14ac:dyDescent="0.25">
      <c r="B3" s="6" t="s">
        <v>17</v>
      </c>
    </row>
    <row r="4" spans="1:149" x14ac:dyDescent="0.25">
      <c r="B4" s="6" t="s">
        <v>0</v>
      </c>
    </row>
    <row r="5" spans="1:149" s="4" customFormat="1" x14ac:dyDescent="0.25">
      <c r="A5" s="36"/>
      <c r="B5" s="6" t="s">
        <v>1</v>
      </c>
      <c r="R5" s="5" t="s">
        <v>3</v>
      </c>
      <c r="S5" s="5" t="s">
        <v>3</v>
      </c>
      <c r="T5" s="5" t="s">
        <v>3</v>
      </c>
      <c r="U5" s="5" t="s">
        <v>3</v>
      </c>
      <c r="V5" s="5" t="s">
        <v>3</v>
      </c>
      <c r="W5" s="5" t="s">
        <v>3</v>
      </c>
      <c r="X5" s="5" t="s">
        <v>3</v>
      </c>
      <c r="Y5" s="5" t="s">
        <v>3</v>
      </c>
      <c r="Z5" s="5" t="s">
        <v>3</v>
      </c>
      <c r="AA5" s="5" t="s">
        <v>3</v>
      </c>
      <c r="AB5" s="5" t="s">
        <v>3</v>
      </c>
      <c r="AC5" s="5" t="s">
        <v>3</v>
      </c>
      <c r="AD5" s="5" t="s">
        <v>3</v>
      </c>
      <c r="AE5" s="5" t="s">
        <v>3</v>
      </c>
      <c r="AF5" s="5" t="s">
        <v>3</v>
      </c>
      <c r="AG5" s="5" t="s">
        <v>3</v>
      </c>
      <c r="AH5" s="5" t="s">
        <v>3</v>
      </c>
      <c r="AI5" s="5" t="s">
        <v>3</v>
      </c>
      <c r="AJ5" s="5" t="s">
        <v>3</v>
      </c>
      <c r="AK5" s="5" t="s">
        <v>3</v>
      </c>
      <c r="AL5" s="5" t="s">
        <v>3</v>
      </c>
      <c r="AM5" s="5" t="s">
        <v>3</v>
      </c>
      <c r="AN5" s="5" t="s">
        <v>3</v>
      </c>
      <c r="AO5" s="5" t="s">
        <v>3</v>
      </c>
      <c r="AP5" s="5" t="s">
        <v>3</v>
      </c>
      <c r="AQ5" s="5" t="s">
        <v>3</v>
      </c>
      <c r="AR5" s="5" t="s">
        <v>3</v>
      </c>
      <c r="AS5" s="5" t="s">
        <v>3</v>
      </c>
      <c r="AT5" s="5" t="s">
        <v>3</v>
      </c>
      <c r="AU5" s="5" t="s">
        <v>3</v>
      </c>
      <c r="AV5" s="5" t="s">
        <v>3</v>
      </c>
      <c r="AW5" s="5" t="s">
        <v>3</v>
      </c>
      <c r="AX5" s="5" t="s">
        <v>3</v>
      </c>
      <c r="AY5" s="5" t="s">
        <v>3</v>
      </c>
      <c r="AZ5" s="5" t="s">
        <v>3</v>
      </c>
      <c r="BA5" s="5" t="s">
        <v>3</v>
      </c>
      <c r="BB5" s="5" t="s">
        <v>3</v>
      </c>
      <c r="BC5" s="5" t="s">
        <v>3</v>
      </c>
      <c r="BD5" s="5" t="s">
        <v>3</v>
      </c>
      <c r="BE5" s="5" t="s">
        <v>3</v>
      </c>
      <c r="BF5" s="5" t="s">
        <v>3</v>
      </c>
      <c r="BG5" s="5" t="s">
        <v>3</v>
      </c>
      <c r="BH5" s="5" t="s">
        <v>3</v>
      </c>
      <c r="BI5" s="5" t="s">
        <v>3</v>
      </c>
      <c r="BJ5" s="5" t="s">
        <v>3</v>
      </c>
      <c r="BK5" s="5" t="s">
        <v>3</v>
      </c>
      <c r="BL5" s="5" t="s">
        <v>3</v>
      </c>
      <c r="BM5" s="5" t="s">
        <v>3</v>
      </c>
      <c r="BN5" s="5" t="s">
        <v>3</v>
      </c>
      <c r="BO5" s="5" t="s">
        <v>3</v>
      </c>
      <c r="BP5" s="5" t="s">
        <v>3</v>
      </c>
      <c r="BQ5" s="5" t="s">
        <v>3</v>
      </c>
      <c r="BR5" s="9" t="s">
        <v>4</v>
      </c>
      <c r="BS5" s="9" t="s">
        <v>4</v>
      </c>
      <c r="BT5" s="9" t="s">
        <v>4</v>
      </c>
      <c r="BU5" s="9" t="s">
        <v>4</v>
      </c>
      <c r="BV5" s="9" t="s">
        <v>4</v>
      </c>
      <c r="BW5" s="9" t="s">
        <v>4</v>
      </c>
      <c r="BX5" s="9" t="s">
        <v>4</v>
      </c>
      <c r="BY5" s="9" t="s">
        <v>4</v>
      </c>
      <c r="BZ5" s="9" t="s">
        <v>4</v>
      </c>
      <c r="CA5" s="9" t="s">
        <v>4</v>
      </c>
      <c r="CB5" s="9" t="s">
        <v>4</v>
      </c>
      <c r="CC5" s="9" t="s">
        <v>4</v>
      </c>
      <c r="CD5" s="9" t="s">
        <v>4</v>
      </c>
      <c r="CE5" s="9" t="s">
        <v>4</v>
      </c>
      <c r="CF5" s="9" t="s">
        <v>4</v>
      </c>
      <c r="CG5" s="9" t="s">
        <v>4</v>
      </c>
      <c r="CH5" s="9" t="s">
        <v>4</v>
      </c>
      <c r="CI5" s="9" t="s">
        <v>4</v>
      </c>
      <c r="CJ5" s="9" t="s">
        <v>4</v>
      </c>
      <c r="CK5" s="9" t="s">
        <v>4</v>
      </c>
      <c r="CL5" s="9" t="s">
        <v>4</v>
      </c>
      <c r="CM5" s="9" t="s">
        <v>4</v>
      </c>
      <c r="CN5" s="9" t="s">
        <v>4</v>
      </c>
      <c r="CO5" s="9" t="s">
        <v>4</v>
      </c>
      <c r="CP5" s="9" t="s">
        <v>4</v>
      </c>
      <c r="CQ5" s="9" t="s">
        <v>4</v>
      </c>
      <c r="CR5" s="9" t="s">
        <v>4</v>
      </c>
      <c r="CS5" s="9" t="s">
        <v>4</v>
      </c>
      <c r="CT5" s="9" t="s">
        <v>4</v>
      </c>
      <c r="CU5" s="9" t="s">
        <v>4</v>
      </c>
      <c r="CV5" s="9" t="s">
        <v>4</v>
      </c>
      <c r="CW5" s="9" t="s">
        <v>4</v>
      </c>
      <c r="CX5" s="9" t="s">
        <v>4</v>
      </c>
      <c r="CY5" s="9" t="s">
        <v>4</v>
      </c>
      <c r="CZ5" s="9" t="s">
        <v>4</v>
      </c>
      <c r="DA5" s="9" t="s">
        <v>4</v>
      </c>
      <c r="DB5" s="9" t="s">
        <v>4</v>
      </c>
      <c r="DC5" s="9" t="s">
        <v>4</v>
      </c>
      <c r="DD5" s="9" t="s">
        <v>4</v>
      </c>
      <c r="DE5" s="9" t="s">
        <v>4</v>
      </c>
      <c r="DF5" s="9" t="s">
        <v>4</v>
      </c>
      <c r="DG5" s="9" t="s">
        <v>4</v>
      </c>
      <c r="DH5" s="9" t="s">
        <v>4</v>
      </c>
      <c r="DI5" s="9" t="s">
        <v>4</v>
      </c>
      <c r="DJ5" s="9" t="s">
        <v>4</v>
      </c>
      <c r="DK5" s="9" t="s">
        <v>4</v>
      </c>
      <c r="DL5" s="9" t="s">
        <v>4</v>
      </c>
      <c r="DM5" s="9" t="s">
        <v>4</v>
      </c>
      <c r="DN5" s="9" t="s">
        <v>4</v>
      </c>
      <c r="DO5" s="9" t="s">
        <v>4</v>
      </c>
      <c r="DP5" s="9" t="s">
        <v>4</v>
      </c>
      <c r="DQ5" s="9" t="s">
        <v>4</v>
      </c>
      <c r="DR5" s="9" t="s">
        <v>9</v>
      </c>
      <c r="DS5" s="3"/>
    </row>
    <row r="6" spans="1:149" s="4" customFormat="1" x14ac:dyDescent="0.25">
      <c r="A6" s="36"/>
      <c r="D6" s="24" t="s">
        <v>6</v>
      </c>
      <c r="F6" s="25" t="s">
        <v>15</v>
      </c>
      <c r="G6" s="25" t="s">
        <v>15</v>
      </c>
      <c r="H6" s="25" t="s">
        <v>15</v>
      </c>
      <c r="I6" s="25" t="s">
        <v>15</v>
      </c>
      <c r="J6" s="25" t="s">
        <v>15</v>
      </c>
      <c r="K6" s="25" t="s">
        <v>15</v>
      </c>
      <c r="L6" s="25" t="s">
        <v>15</v>
      </c>
      <c r="M6" s="25" t="s">
        <v>15</v>
      </c>
      <c r="N6" s="25" t="s">
        <v>15</v>
      </c>
      <c r="O6" s="25" t="s">
        <v>15</v>
      </c>
      <c r="P6" s="25" t="s">
        <v>15</v>
      </c>
      <c r="Q6" s="25" t="s">
        <v>15</v>
      </c>
      <c r="R6" s="7">
        <v>43374</v>
      </c>
      <c r="S6" s="7">
        <f>R6+7</f>
        <v>43381</v>
      </c>
      <c r="T6" s="7">
        <f t="shared" ref="T6:BQ6" si="0">S6+7</f>
        <v>43388</v>
      </c>
      <c r="U6" s="7">
        <f t="shared" si="0"/>
        <v>43395</v>
      </c>
      <c r="V6" s="7">
        <f t="shared" si="0"/>
        <v>43402</v>
      </c>
      <c r="W6" s="7">
        <f t="shared" si="0"/>
        <v>43409</v>
      </c>
      <c r="X6" s="7">
        <f t="shared" si="0"/>
        <v>43416</v>
      </c>
      <c r="Y6" s="7">
        <f t="shared" si="0"/>
        <v>43423</v>
      </c>
      <c r="Z6" s="7">
        <f t="shared" si="0"/>
        <v>43430</v>
      </c>
      <c r="AA6" s="7">
        <f t="shared" si="0"/>
        <v>43437</v>
      </c>
      <c r="AB6" s="7">
        <f t="shared" si="0"/>
        <v>43444</v>
      </c>
      <c r="AC6" s="7">
        <f t="shared" si="0"/>
        <v>43451</v>
      </c>
      <c r="AD6" s="7">
        <f t="shared" si="0"/>
        <v>43458</v>
      </c>
      <c r="AE6" s="7">
        <f t="shared" si="0"/>
        <v>43465</v>
      </c>
      <c r="AF6" s="7">
        <f t="shared" si="0"/>
        <v>43472</v>
      </c>
      <c r="AG6" s="7">
        <f t="shared" si="0"/>
        <v>43479</v>
      </c>
      <c r="AH6" s="7">
        <f t="shared" si="0"/>
        <v>43486</v>
      </c>
      <c r="AI6" s="7">
        <f t="shared" si="0"/>
        <v>43493</v>
      </c>
      <c r="AJ6" s="7">
        <f t="shared" si="0"/>
        <v>43500</v>
      </c>
      <c r="AK6" s="7">
        <f t="shared" si="0"/>
        <v>43507</v>
      </c>
      <c r="AL6" s="7">
        <f t="shared" si="0"/>
        <v>43514</v>
      </c>
      <c r="AM6" s="7">
        <f t="shared" si="0"/>
        <v>43521</v>
      </c>
      <c r="AN6" s="7">
        <f t="shared" si="0"/>
        <v>43528</v>
      </c>
      <c r="AO6" s="7">
        <f t="shared" si="0"/>
        <v>43535</v>
      </c>
      <c r="AP6" s="7">
        <f t="shared" si="0"/>
        <v>43542</v>
      </c>
      <c r="AQ6" s="7">
        <f t="shared" si="0"/>
        <v>43549</v>
      </c>
      <c r="AR6" s="7">
        <f t="shared" si="0"/>
        <v>43556</v>
      </c>
      <c r="AS6" s="7">
        <f t="shared" si="0"/>
        <v>43563</v>
      </c>
      <c r="AT6" s="7">
        <f t="shared" si="0"/>
        <v>43570</v>
      </c>
      <c r="AU6" s="7">
        <f t="shared" si="0"/>
        <v>43577</v>
      </c>
      <c r="AV6" s="7">
        <f t="shared" si="0"/>
        <v>43584</v>
      </c>
      <c r="AW6" s="7">
        <f t="shared" si="0"/>
        <v>43591</v>
      </c>
      <c r="AX6" s="7">
        <f t="shared" si="0"/>
        <v>43598</v>
      </c>
      <c r="AY6" s="7">
        <f t="shared" si="0"/>
        <v>43605</v>
      </c>
      <c r="AZ6" s="7">
        <f t="shared" si="0"/>
        <v>43612</v>
      </c>
      <c r="BA6" s="7">
        <f t="shared" si="0"/>
        <v>43619</v>
      </c>
      <c r="BB6" s="7">
        <f t="shared" si="0"/>
        <v>43626</v>
      </c>
      <c r="BC6" s="7">
        <f t="shared" si="0"/>
        <v>43633</v>
      </c>
      <c r="BD6" s="7">
        <f t="shared" si="0"/>
        <v>43640</v>
      </c>
      <c r="BE6" s="7">
        <f t="shared" si="0"/>
        <v>43647</v>
      </c>
      <c r="BF6" s="7">
        <f t="shared" si="0"/>
        <v>43654</v>
      </c>
      <c r="BG6" s="7">
        <f t="shared" si="0"/>
        <v>43661</v>
      </c>
      <c r="BH6" s="7">
        <f t="shared" si="0"/>
        <v>43668</v>
      </c>
      <c r="BI6" s="7">
        <f t="shared" si="0"/>
        <v>43675</v>
      </c>
      <c r="BJ6" s="7">
        <f t="shared" si="0"/>
        <v>43682</v>
      </c>
      <c r="BK6" s="7">
        <f t="shared" si="0"/>
        <v>43689</v>
      </c>
      <c r="BL6" s="7">
        <f t="shared" si="0"/>
        <v>43696</v>
      </c>
      <c r="BM6" s="7">
        <f t="shared" si="0"/>
        <v>43703</v>
      </c>
      <c r="BN6" s="7">
        <f t="shared" si="0"/>
        <v>43710</v>
      </c>
      <c r="BO6" s="7">
        <f t="shared" si="0"/>
        <v>43717</v>
      </c>
      <c r="BP6" s="7">
        <f t="shared" si="0"/>
        <v>43724</v>
      </c>
      <c r="BQ6" s="7">
        <f t="shared" si="0"/>
        <v>43731</v>
      </c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 t="s">
        <v>4</v>
      </c>
      <c r="DS6" s="8" t="s">
        <v>5</v>
      </c>
    </row>
    <row r="7" spans="1:149" s="4" customFormat="1" x14ac:dyDescent="0.25">
      <c r="A7" s="36" t="s">
        <v>19</v>
      </c>
      <c r="B7" s="38" t="s">
        <v>14</v>
      </c>
      <c r="D7" s="24" t="s">
        <v>7</v>
      </c>
      <c r="F7" s="26" t="str">
        <f t="shared" ref="F7:Q7" si="1">CONCATENATE(EH9,"-",EH10)</f>
        <v>Octubre-2018</v>
      </c>
      <c r="G7" s="26" t="str">
        <f t="shared" si="1"/>
        <v>Noviembre-2018</v>
      </c>
      <c r="H7" s="26" t="str">
        <f t="shared" si="1"/>
        <v>Diciembre-2018</v>
      </c>
      <c r="I7" s="26" t="str">
        <f t="shared" si="1"/>
        <v>Enero-2019</v>
      </c>
      <c r="J7" s="26" t="str">
        <f t="shared" si="1"/>
        <v>Febrero-2019</v>
      </c>
      <c r="K7" s="26" t="str">
        <f t="shared" si="1"/>
        <v>Marzo-2019</v>
      </c>
      <c r="L7" s="26" t="str">
        <f t="shared" si="1"/>
        <v>Abril-2019</v>
      </c>
      <c r="M7" s="26" t="str">
        <f t="shared" si="1"/>
        <v>Mayo-2019</v>
      </c>
      <c r="N7" s="26" t="str">
        <f t="shared" si="1"/>
        <v>Junio-2019</v>
      </c>
      <c r="O7" s="26" t="str">
        <f t="shared" si="1"/>
        <v>Julio-2019</v>
      </c>
      <c r="P7" s="26" t="str">
        <f t="shared" si="1"/>
        <v>Agosto-2019</v>
      </c>
      <c r="Q7" s="26" t="str">
        <f t="shared" si="1"/>
        <v>Septiembre-2019</v>
      </c>
      <c r="R7" s="7">
        <f>R6+4</f>
        <v>43378</v>
      </c>
      <c r="S7" s="7">
        <f>S6+4</f>
        <v>43385</v>
      </c>
      <c r="T7" s="7">
        <f t="shared" ref="T7:BQ7" si="2">T6+4</f>
        <v>43392</v>
      </c>
      <c r="U7" s="7">
        <f t="shared" si="2"/>
        <v>43399</v>
      </c>
      <c r="V7" s="7">
        <f t="shared" si="2"/>
        <v>43406</v>
      </c>
      <c r="W7" s="7">
        <f t="shared" si="2"/>
        <v>43413</v>
      </c>
      <c r="X7" s="7">
        <f t="shared" si="2"/>
        <v>43420</v>
      </c>
      <c r="Y7" s="7">
        <f t="shared" si="2"/>
        <v>43427</v>
      </c>
      <c r="Z7" s="7">
        <f t="shared" si="2"/>
        <v>43434</v>
      </c>
      <c r="AA7" s="7">
        <f t="shared" si="2"/>
        <v>43441</v>
      </c>
      <c r="AB7" s="7">
        <f t="shared" si="2"/>
        <v>43448</v>
      </c>
      <c r="AC7" s="7">
        <f t="shared" si="2"/>
        <v>43455</v>
      </c>
      <c r="AD7" s="7">
        <f t="shared" si="2"/>
        <v>43462</v>
      </c>
      <c r="AE7" s="7">
        <f t="shared" si="2"/>
        <v>43469</v>
      </c>
      <c r="AF7" s="7">
        <f t="shared" si="2"/>
        <v>43476</v>
      </c>
      <c r="AG7" s="7">
        <f t="shared" si="2"/>
        <v>43483</v>
      </c>
      <c r="AH7" s="7">
        <f t="shared" si="2"/>
        <v>43490</v>
      </c>
      <c r="AI7" s="7">
        <f t="shared" si="2"/>
        <v>43497</v>
      </c>
      <c r="AJ7" s="7">
        <f t="shared" si="2"/>
        <v>43504</v>
      </c>
      <c r="AK7" s="7">
        <f t="shared" si="2"/>
        <v>43511</v>
      </c>
      <c r="AL7" s="7">
        <f t="shared" si="2"/>
        <v>43518</v>
      </c>
      <c r="AM7" s="7">
        <f t="shared" si="2"/>
        <v>43525</v>
      </c>
      <c r="AN7" s="7">
        <f t="shared" si="2"/>
        <v>43532</v>
      </c>
      <c r="AO7" s="7">
        <f t="shared" si="2"/>
        <v>43539</v>
      </c>
      <c r="AP7" s="7">
        <f t="shared" si="2"/>
        <v>43546</v>
      </c>
      <c r="AQ7" s="7">
        <f t="shared" si="2"/>
        <v>43553</v>
      </c>
      <c r="AR7" s="7">
        <f t="shared" si="2"/>
        <v>43560</v>
      </c>
      <c r="AS7" s="7">
        <f t="shared" si="2"/>
        <v>43567</v>
      </c>
      <c r="AT7" s="7">
        <f t="shared" si="2"/>
        <v>43574</v>
      </c>
      <c r="AU7" s="7">
        <f t="shared" si="2"/>
        <v>43581</v>
      </c>
      <c r="AV7" s="7">
        <f t="shared" si="2"/>
        <v>43588</v>
      </c>
      <c r="AW7" s="7">
        <f t="shared" si="2"/>
        <v>43595</v>
      </c>
      <c r="AX7" s="7">
        <f t="shared" si="2"/>
        <v>43602</v>
      </c>
      <c r="AY7" s="7">
        <f t="shared" si="2"/>
        <v>43609</v>
      </c>
      <c r="AZ7" s="7">
        <f t="shared" si="2"/>
        <v>43616</v>
      </c>
      <c r="BA7" s="7">
        <f t="shared" si="2"/>
        <v>43623</v>
      </c>
      <c r="BB7" s="7">
        <f t="shared" si="2"/>
        <v>43630</v>
      </c>
      <c r="BC7" s="7">
        <f t="shared" si="2"/>
        <v>43637</v>
      </c>
      <c r="BD7" s="7">
        <f t="shared" si="2"/>
        <v>43644</v>
      </c>
      <c r="BE7" s="7">
        <f t="shared" si="2"/>
        <v>43651</v>
      </c>
      <c r="BF7" s="7">
        <f t="shared" si="2"/>
        <v>43658</v>
      </c>
      <c r="BG7" s="7">
        <f t="shared" si="2"/>
        <v>43665</v>
      </c>
      <c r="BH7" s="7">
        <f t="shared" si="2"/>
        <v>43672</v>
      </c>
      <c r="BI7" s="7">
        <f t="shared" si="2"/>
        <v>43679</v>
      </c>
      <c r="BJ7" s="7">
        <f t="shared" si="2"/>
        <v>43686</v>
      </c>
      <c r="BK7" s="7">
        <f t="shared" si="2"/>
        <v>43693</v>
      </c>
      <c r="BL7" s="7">
        <f t="shared" si="2"/>
        <v>43700</v>
      </c>
      <c r="BM7" s="7">
        <f t="shared" si="2"/>
        <v>43707</v>
      </c>
      <c r="BN7" s="7">
        <f t="shared" si="2"/>
        <v>43714</v>
      </c>
      <c r="BO7" s="7">
        <f t="shared" si="2"/>
        <v>43721</v>
      </c>
      <c r="BP7" s="7">
        <f t="shared" si="2"/>
        <v>43728</v>
      </c>
      <c r="BQ7" s="7">
        <f t="shared" si="2"/>
        <v>43735</v>
      </c>
      <c r="BR7" s="10">
        <f>R7</f>
        <v>43378</v>
      </c>
      <c r="BS7" s="10">
        <f>S7</f>
        <v>43385</v>
      </c>
      <c r="BT7" s="10">
        <f t="shared" ref="BT7:DQ7" si="3">T7</f>
        <v>43392</v>
      </c>
      <c r="BU7" s="10">
        <f t="shared" si="3"/>
        <v>43399</v>
      </c>
      <c r="BV7" s="10">
        <f t="shared" si="3"/>
        <v>43406</v>
      </c>
      <c r="BW7" s="10">
        <f t="shared" si="3"/>
        <v>43413</v>
      </c>
      <c r="BX7" s="10">
        <f t="shared" si="3"/>
        <v>43420</v>
      </c>
      <c r="BY7" s="10">
        <f t="shared" si="3"/>
        <v>43427</v>
      </c>
      <c r="BZ7" s="10">
        <f t="shared" si="3"/>
        <v>43434</v>
      </c>
      <c r="CA7" s="10">
        <f t="shared" si="3"/>
        <v>43441</v>
      </c>
      <c r="CB7" s="10">
        <f t="shared" si="3"/>
        <v>43448</v>
      </c>
      <c r="CC7" s="10">
        <f t="shared" si="3"/>
        <v>43455</v>
      </c>
      <c r="CD7" s="10">
        <f t="shared" si="3"/>
        <v>43462</v>
      </c>
      <c r="CE7" s="10">
        <f t="shared" si="3"/>
        <v>43469</v>
      </c>
      <c r="CF7" s="10">
        <f t="shared" si="3"/>
        <v>43476</v>
      </c>
      <c r="CG7" s="10">
        <f t="shared" si="3"/>
        <v>43483</v>
      </c>
      <c r="CH7" s="10">
        <f t="shared" si="3"/>
        <v>43490</v>
      </c>
      <c r="CI7" s="10">
        <f t="shared" si="3"/>
        <v>43497</v>
      </c>
      <c r="CJ7" s="10">
        <f t="shared" si="3"/>
        <v>43504</v>
      </c>
      <c r="CK7" s="10">
        <f t="shared" si="3"/>
        <v>43511</v>
      </c>
      <c r="CL7" s="10">
        <f t="shared" si="3"/>
        <v>43518</v>
      </c>
      <c r="CM7" s="10">
        <f t="shared" si="3"/>
        <v>43525</v>
      </c>
      <c r="CN7" s="10">
        <f t="shared" si="3"/>
        <v>43532</v>
      </c>
      <c r="CO7" s="10">
        <f t="shared" si="3"/>
        <v>43539</v>
      </c>
      <c r="CP7" s="10">
        <f t="shared" si="3"/>
        <v>43546</v>
      </c>
      <c r="CQ7" s="10">
        <f t="shared" si="3"/>
        <v>43553</v>
      </c>
      <c r="CR7" s="10">
        <f t="shared" si="3"/>
        <v>43560</v>
      </c>
      <c r="CS7" s="10">
        <f t="shared" si="3"/>
        <v>43567</v>
      </c>
      <c r="CT7" s="10">
        <f t="shared" si="3"/>
        <v>43574</v>
      </c>
      <c r="CU7" s="10">
        <f t="shared" si="3"/>
        <v>43581</v>
      </c>
      <c r="CV7" s="10">
        <f t="shared" si="3"/>
        <v>43588</v>
      </c>
      <c r="CW7" s="10">
        <f t="shared" si="3"/>
        <v>43595</v>
      </c>
      <c r="CX7" s="10">
        <f t="shared" si="3"/>
        <v>43602</v>
      </c>
      <c r="CY7" s="10">
        <f t="shared" si="3"/>
        <v>43609</v>
      </c>
      <c r="CZ7" s="10">
        <f t="shared" si="3"/>
        <v>43616</v>
      </c>
      <c r="DA7" s="10">
        <f t="shared" si="3"/>
        <v>43623</v>
      </c>
      <c r="DB7" s="10">
        <f t="shared" si="3"/>
        <v>43630</v>
      </c>
      <c r="DC7" s="10">
        <f t="shared" si="3"/>
        <v>43637</v>
      </c>
      <c r="DD7" s="10">
        <f t="shared" si="3"/>
        <v>43644</v>
      </c>
      <c r="DE7" s="10">
        <f t="shared" si="3"/>
        <v>43651</v>
      </c>
      <c r="DF7" s="10">
        <f t="shared" si="3"/>
        <v>43658</v>
      </c>
      <c r="DG7" s="10">
        <f t="shared" si="3"/>
        <v>43665</v>
      </c>
      <c r="DH7" s="10">
        <f t="shared" si="3"/>
        <v>43672</v>
      </c>
      <c r="DI7" s="10">
        <f t="shared" si="3"/>
        <v>43679</v>
      </c>
      <c r="DJ7" s="10">
        <f t="shared" si="3"/>
        <v>43686</v>
      </c>
      <c r="DK7" s="10">
        <f t="shared" si="3"/>
        <v>43693</v>
      </c>
      <c r="DL7" s="10">
        <f t="shared" si="3"/>
        <v>43700</v>
      </c>
      <c r="DM7" s="10">
        <f t="shared" si="3"/>
        <v>43707</v>
      </c>
      <c r="DN7" s="10">
        <f t="shared" si="3"/>
        <v>43714</v>
      </c>
      <c r="DO7" s="10">
        <f t="shared" si="3"/>
        <v>43721</v>
      </c>
      <c r="DP7" s="10">
        <f t="shared" si="3"/>
        <v>43728</v>
      </c>
      <c r="DQ7" s="10">
        <f t="shared" si="3"/>
        <v>43735</v>
      </c>
      <c r="DR7" s="10"/>
      <c r="DS7" s="8" t="s">
        <v>2</v>
      </c>
      <c r="EH7" s="26">
        <v>43374</v>
      </c>
      <c r="EI7" s="26">
        <v>43405</v>
      </c>
      <c r="EJ7" s="26">
        <v>43435</v>
      </c>
      <c r="EK7" s="26">
        <v>43466</v>
      </c>
      <c r="EL7" s="26">
        <v>43497</v>
      </c>
      <c r="EM7" s="26">
        <v>43525</v>
      </c>
      <c r="EN7" s="26">
        <v>43556</v>
      </c>
      <c r="EO7" s="26">
        <v>43586</v>
      </c>
      <c r="EP7" s="26">
        <v>43617</v>
      </c>
      <c r="EQ7" s="26">
        <v>43647</v>
      </c>
      <c r="ER7" s="26">
        <v>43678</v>
      </c>
      <c r="ES7" s="26">
        <v>43709</v>
      </c>
    </row>
    <row r="8" spans="1:149" s="4" customFormat="1" ht="4.5" customHeight="1" x14ac:dyDescent="0.25">
      <c r="A8" s="36"/>
      <c r="B8" s="12"/>
      <c r="D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1:149" x14ac:dyDescent="0.25">
      <c r="B9" s="13"/>
      <c r="C9" s="4"/>
      <c r="D9" s="4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30"/>
      <c r="EH9" s="28" t="str">
        <f>PROPER(TEXT(EH7,"MMMM"))</f>
        <v>Octubre</v>
      </c>
      <c r="EI9" s="28" t="str">
        <f t="shared" ref="EI9:ES9" si="4">PROPER(TEXT(EI7,"MMMM"))</f>
        <v>Noviembre</v>
      </c>
      <c r="EJ9" s="28" t="str">
        <f t="shared" si="4"/>
        <v>Diciembre</v>
      </c>
      <c r="EK9" s="28" t="str">
        <f t="shared" si="4"/>
        <v>Enero</v>
      </c>
      <c r="EL9" s="28" t="str">
        <f t="shared" si="4"/>
        <v>Febrero</v>
      </c>
      <c r="EM9" s="28" t="str">
        <f t="shared" si="4"/>
        <v>Marzo</v>
      </c>
      <c r="EN9" s="28" t="str">
        <f t="shared" si="4"/>
        <v>Abril</v>
      </c>
      <c r="EO9" s="28" t="str">
        <f t="shared" si="4"/>
        <v>Mayo</v>
      </c>
      <c r="EP9" s="28" t="str">
        <f t="shared" si="4"/>
        <v>Junio</v>
      </c>
      <c r="EQ9" s="28" t="str">
        <f t="shared" si="4"/>
        <v>Julio</v>
      </c>
      <c r="ER9" s="28" t="str">
        <f t="shared" si="4"/>
        <v>Agosto</v>
      </c>
      <c r="ES9" s="28" t="str">
        <f t="shared" si="4"/>
        <v>Septiembre</v>
      </c>
    </row>
    <row r="10" spans="1:149" x14ac:dyDescent="0.25">
      <c r="B10" s="14" t="s">
        <v>16</v>
      </c>
      <c r="C10" s="4"/>
      <c r="D10" s="4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30"/>
      <c r="EH10" s="27">
        <f t="shared" ref="EH10:ES10" si="5">YEAR(EH7)</f>
        <v>2018</v>
      </c>
      <c r="EI10" s="27">
        <f t="shared" si="5"/>
        <v>2018</v>
      </c>
      <c r="EJ10" s="27">
        <f t="shared" si="5"/>
        <v>2018</v>
      </c>
      <c r="EK10" s="27">
        <f t="shared" si="5"/>
        <v>2019</v>
      </c>
      <c r="EL10" s="27">
        <f t="shared" si="5"/>
        <v>2019</v>
      </c>
      <c r="EM10" s="27">
        <f t="shared" si="5"/>
        <v>2019</v>
      </c>
      <c r="EN10" s="27">
        <f t="shared" si="5"/>
        <v>2019</v>
      </c>
      <c r="EO10" s="27">
        <f t="shared" si="5"/>
        <v>2019</v>
      </c>
      <c r="EP10" s="27">
        <f t="shared" si="5"/>
        <v>2019</v>
      </c>
      <c r="EQ10" s="27">
        <f t="shared" si="5"/>
        <v>2019</v>
      </c>
      <c r="ER10" s="27">
        <f t="shared" si="5"/>
        <v>2019</v>
      </c>
      <c r="ES10" s="27">
        <f t="shared" si="5"/>
        <v>2019</v>
      </c>
    </row>
    <row r="11" spans="1:149" x14ac:dyDescent="0.25">
      <c r="B11" s="14" t="s">
        <v>8</v>
      </c>
      <c r="C11" s="4"/>
      <c r="D11" s="4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30"/>
    </row>
    <row r="12" spans="1:149" ht="6" customHeight="1" x14ac:dyDescent="0.25">
      <c r="B12" s="15"/>
      <c r="C12" s="4"/>
      <c r="D12" s="4"/>
    </row>
    <row r="13" spans="1:149" x14ac:dyDescent="0.25">
      <c r="B13" s="22" t="s">
        <v>10</v>
      </c>
      <c r="C13" s="4"/>
      <c r="D13" s="29" t="s">
        <v>18</v>
      </c>
    </row>
    <row r="14" spans="1:149" x14ac:dyDescent="0.25">
      <c r="B14" s="16"/>
      <c r="D14" s="1">
        <f>SUM(F14:Q14)</f>
        <v>0</v>
      </c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32"/>
      <c r="DS14" s="11">
        <f>D14-SUM(BR14:DQ14)</f>
        <v>0</v>
      </c>
    </row>
    <row r="15" spans="1:149" x14ac:dyDescent="0.25">
      <c r="B15" s="16"/>
      <c r="D15" s="1">
        <f t="shared" ref="D15:D21" si="6">SUM(F15:Q15)</f>
        <v>0</v>
      </c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40"/>
      <c r="BS15" s="40"/>
      <c r="BT15" s="40"/>
      <c r="BU15" s="40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40"/>
      <c r="DE15" s="40"/>
      <c r="DF15" s="40"/>
      <c r="DG15" s="40"/>
      <c r="DH15" s="40"/>
      <c r="DI15" s="40"/>
      <c r="DJ15" s="40"/>
      <c r="DK15" s="40"/>
      <c r="DL15" s="40"/>
      <c r="DM15" s="40"/>
      <c r="DN15" s="40"/>
      <c r="DO15" s="40"/>
      <c r="DP15" s="40"/>
      <c r="DQ15" s="40"/>
      <c r="DR15" s="40"/>
      <c r="DS15" s="11">
        <f t="shared" ref="DS15:DS21" si="7">D15-SUM(BR15:DQ15)</f>
        <v>0</v>
      </c>
    </row>
    <row r="16" spans="1:149" x14ac:dyDescent="0.25">
      <c r="B16" s="16"/>
      <c r="D16" s="1">
        <f t="shared" si="6"/>
        <v>0</v>
      </c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40"/>
      <c r="BS16" s="40"/>
      <c r="BT16" s="40"/>
      <c r="BU16" s="40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40"/>
      <c r="DE16" s="40"/>
      <c r="DF16" s="40"/>
      <c r="DG16" s="40"/>
      <c r="DH16" s="40"/>
      <c r="DI16" s="40"/>
      <c r="DJ16" s="40"/>
      <c r="DK16" s="40"/>
      <c r="DL16" s="40"/>
      <c r="DM16" s="40"/>
      <c r="DN16" s="40"/>
      <c r="DO16" s="40"/>
      <c r="DP16" s="40"/>
      <c r="DQ16" s="40"/>
      <c r="DR16" s="40"/>
      <c r="DS16" s="11">
        <f t="shared" si="7"/>
        <v>0</v>
      </c>
    </row>
    <row r="17" spans="2:123" x14ac:dyDescent="0.25">
      <c r="B17" s="16"/>
      <c r="D17" s="1">
        <f t="shared" si="6"/>
        <v>0</v>
      </c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40"/>
      <c r="BS17" s="40"/>
      <c r="BT17" s="40"/>
      <c r="BU17" s="40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40"/>
      <c r="DE17" s="40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0"/>
      <c r="DR17" s="40"/>
      <c r="DS17" s="11">
        <f t="shared" si="7"/>
        <v>0</v>
      </c>
    </row>
    <row r="18" spans="2:123" x14ac:dyDescent="0.25">
      <c r="B18" s="16"/>
      <c r="D18" s="1">
        <f t="shared" si="6"/>
        <v>0</v>
      </c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40"/>
      <c r="BS18" s="40"/>
      <c r="BT18" s="40"/>
      <c r="BU18" s="40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40"/>
      <c r="DE18" s="40"/>
      <c r="DF18" s="40"/>
      <c r="DG18" s="40"/>
      <c r="DH18" s="40"/>
      <c r="DI18" s="40"/>
      <c r="DJ18" s="40"/>
      <c r="DK18" s="40"/>
      <c r="DL18" s="40"/>
      <c r="DM18" s="40"/>
      <c r="DN18" s="40"/>
      <c r="DO18" s="40"/>
      <c r="DP18" s="40"/>
      <c r="DQ18" s="40"/>
      <c r="DR18" s="40"/>
      <c r="DS18" s="11">
        <f t="shared" si="7"/>
        <v>0</v>
      </c>
    </row>
    <row r="19" spans="2:123" x14ac:dyDescent="0.25">
      <c r="B19" s="16"/>
      <c r="D19" s="1">
        <f t="shared" si="6"/>
        <v>0</v>
      </c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11">
        <f t="shared" si="7"/>
        <v>0</v>
      </c>
    </row>
    <row r="20" spans="2:123" x14ac:dyDescent="0.25">
      <c r="B20" s="16"/>
      <c r="D20" s="1">
        <f t="shared" si="6"/>
        <v>0</v>
      </c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11">
        <f t="shared" si="7"/>
        <v>0</v>
      </c>
    </row>
    <row r="21" spans="2:123" ht="6" customHeight="1" x14ac:dyDescent="0.25">
      <c r="B21" s="18"/>
      <c r="D21" s="31">
        <f t="shared" si="6"/>
        <v>0</v>
      </c>
      <c r="DS21" s="31">
        <f t="shared" si="7"/>
        <v>0</v>
      </c>
    </row>
    <row r="22" spans="2:123" x14ac:dyDescent="0.25">
      <c r="B22" s="23" t="s">
        <v>11</v>
      </c>
    </row>
    <row r="23" spans="2:123" x14ac:dyDescent="0.25">
      <c r="B23" s="23" t="s">
        <v>32</v>
      </c>
    </row>
    <row r="24" spans="2:123" x14ac:dyDescent="0.25">
      <c r="B24" s="16"/>
      <c r="D24" s="1">
        <f t="shared" ref="D24:D34" si="8">SUM(F24:Q24)</f>
        <v>0</v>
      </c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32"/>
      <c r="DS24" s="11">
        <f>D24-SUM(BR24:DQ24)</f>
        <v>0</v>
      </c>
    </row>
    <row r="25" spans="2:123" x14ac:dyDescent="0.25">
      <c r="B25" s="16"/>
      <c r="D25" s="1">
        <f t="shared" si="8"/>
        <v>0</v>
      </c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40"/>
      <c r="BS25" s="40"/>
      <c r="BT25" s="40"/>
      <c r="BU25" s="40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0"/>
      <c r="CJ25" s="40"/>
      <c r="CK25" s="40"/>
      <c r="CL25" s="40"/>
      <c r="CM25" s="40"/>
      <c r="CN25" s="40"/>
      <c r="CO25" s="40"/>
      <c r="CP25" s="40"/>
      <c r="CQ25" s="40"/>
      <c r="CR25" s="40"/>
      <c r="CS25" s="40"/>
      <c r="CT25" s="40"/>
      <c r="CU25" s="40"/>
      <c r="CV25" s="40"/>
      <c r="CW25" s="40"/>
      <c r="CX25" s="40"/>
      <c r="CY25" s="40"/>
      <c r="CZ25" s="40"/>
      <c r="DA25" s="40"/>
      <c r="DB25" s="40"/>
      <c r="DC25" s="40"/>
      <c r="DD25" s="40"/>
      <c r="DE25" s="40"/>
      <c r="DF25" s="40"/>
      <c r="DG25" s="40"/>
      <c r="DH25" s="40"/>
      <c r="DI25" s="40"/>
      <c r="DJ25" s="40"/>
      <c r="DK25" s="40"/>
      <c r="DL25" s="40"/>
      <c r="DM25" s="40"/>
      <c r="DN25" s="40"/>
      <c r="DO25" s="40"/>
      <c r="DP25" s="40"/>
      <c r="DQ25" s="40"/>
      <c r="DR25" s="40"/>
      <c r="DS25" s="11">
        <f t="shared" ref="DS25:DS30" si="9">D25-SUM(BR25:DQ25)</f>
        <v>0</v>
      </c>
    </row>
    <row r="26" spans="2:123" x14ac:dyDescent="0.25">
      <c r="B26" s="16"/>
      <c r="D26" s="1">
        <f t="shared" si="8"/>
        <v>0</v>
      </c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  <c r="CL26" s="40"/>
      <c r="CM26" s="40"/>
      <c r="CN26" s="40"/>
      <c r="CO26" s="40"/>
      <c r="CP26" s="40"/>
      <c r="CQ26" s="40"/>
      <c r="CR26" s="40"/>
      <c r="CS26" s="40"/>
      <c r="CT26" s="40"/>
      <c r="CU26" s="40"/>
      <c r="CV26" s="40"/>
      <c r="CW26" s="40"/>
      <c r="CX26" s="40"/>
      <c r="CY26" s="40"/>
      <c r="CZ26" s="40"/>
      <c r="DA26" s="40"/>
      <c r="DB26" s="40"/>
      <c r="DC26" s="40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11">
        <f t="shared" si="9"/>
        <v>0</v>
      </c>
    </row>
    <row r="27" spans="2:123" x14ac:dyDescent="0.25">
      <c r="B27" s="16"/>
      <c r="D27" s="1">
        <f t="shared" si="8"/>
        <v>0</v>
      </c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/>
      <c r="DB27" s="40"/>
      <c r="DC27" s="40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40"/>
      <c r="DR27" s="40"/>
      <c r="DS27" s="11">
        <f t="shared" si="9"/>
        <v>0</v>
      </c>
    </row>
    <row r="28" spans="2:123" x14ac:dyDescent="0.25">
      <c r="B28" s="16"/>
      <c r="D28" s="1">
        <f t="shared" si="8"/>
        <v>0</v>
      </c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40"/>
      <c r="DC28" s="40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40"/>
      <c r="DR28" s="40"/>
      <c r="DS28" s="11">
        <f t="shared" si="9"/>
        <v>0</v>
      </c>
    </row>
    <row r="29" spans="2:123" x14ac:dyDescent="0.25">
      <c r="B29" s="16"/>
      <c r="D29" s="1">
        <f t="shared" si="8"/>
        <v>0</v>
      </c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0"/>
      <c r="CJ29" s="40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/>
      <c r="CV29" s="40"/>
      <c r="CW29" s="40"/>
      <c r="CX29" s="40"/>
      <c r="CY29" s="40"/>
      <c r="CZ29" s="40"/>
      <c r="DA29" s="40"/>
      <c r="DB29" s="40"/>
      <c r="DC29" s="40"/>
      <c r="DD29" s="40"/>
      <c r="DE29" s="40"/>
      <c r="DF29" s="40"/>
      <c r="DG29" s="40"/>
      <c r="DH29" s="40"/>
      <c r="DI29" s="40"/>
      <c r="DJ29" s="40"/>
      <c r="DK29" s="40"/>
      <c r="DL29" s="40"/>
      <c r="DM29" s="40"/>
      <c r="DN29" s="40"/>
      <c r="DO29" s="40"/>
      <c r="DP29" s="40"/>
      <c r="DQ29" s="40"/>
      <c r="DR29" s="40"/>
      <c r="DS29" s="11">
        <f t="shared" si="9"/>
        <v>0</v>
      </c>
    </row>
    <row r="30" spans="2:123" ht="6" customHeight="1" x14ac:dyDescent="0.25">
      <c r="B30" s="18"/>
      <c r="D30" s="31">
        <f t="shared" si="8"/>
        <v>0</v>
      </c>
      <c r="DS30" s="31">
        <f t="shared" si="9"/>
        <v>0</v>
      </c>
    </row>
    <row r="31" spans="2:123" x14ac:dyDescent="0.25">
      <c r="B31" s="23" t="s">
        <v>12</v>
      </c>
      <c r="D31" s="19"/>
    </row>
    <row r="32" spans="2:123" x14ac:dyDescent="0.25">
      <c r="B32" s="16"/>
      <c r="D32" s="1">
        <f t="shared" si="8"/>
        <v>0</v>
      </c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32"/>
      <c r="DS32" s="11">
        <f>D32-SUM(BR32:DQ32)</f>
        <v>0</v>
      </c>
    </row>
    <row r="33" spans="2:123" x14ac:dyDescent="0.25">
      <c r="B33" s="16"/>
      <c r="D33" s="1">
        <f t="shared" si="8"/>
        <v>0</v>
      </c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40"/>
      <c r="BS33" s="40"/>
      <c r="BT33" s="40"/>
      <c r="BU33" s="40"/>
      <c r="BV33" s="40"/>
      <c r="BW33" s="40"/>
      <c r="BX33" s="40"/>
      <c r="BY33" s="40"/>
      <c r="BZ33" s="40"/>
      <c r="CA33" s="40"/>
      <c r="CB33" s="40"/>
      <c r="CC33" s="40"/>
      <c r="CD33" s="40"/>
      <c r="CE33" s="40"/>
      <c r="CF33" s="40"/>
      <c r="CG33" s="40"/>
      <c r="CH33" s="40"/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  <c r="DR33" s="40"/>
      <c r="DS33" s="11">
        <f t="shared" ref="DS33:DS34" si="10">D33-SUM(BR33:DQ33)</f>
        <v>0</v>
      </c>
    </row>
    <row r="34" spans="2:123" ht="6" customHeight="1" x14ac:dyDescent="0.25">
      <c r="B34" s="18"/>
      <c r="D34" s="31">
        <f t="shared" si="8"/>
        <v>0</v>
      </c>
      <c r="DS34" s="31">
        <f t="shared" si="10"/>
        <v>0</v>
      </c>
    </row>
    <row r="35" spans="2:123" x14ac:dyDescent="0.25">
      <c r="B35" s="23" t="s">
        <v>13</v>
      </c>
      <c r="D35" s="19"/>
    </row>
    <row r="36" spans="2:123" x14ac:dyDescent="0.25">
      <c r="B36" s="16"/>
      <c r="D36" s="1">
        <f t="shared" ref="D36:D40" si="11">SUM(F36:Q36)</f>
        <v>0</v>
      </c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1"/>
      <c r="DC36" s="2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1"/>
      <c r="DP36" s="21"/>
      <c r="DQ36" s="21"/>
      <c r="DR36" s="32"/>
      <c r="DS36" s="11">
        <f>D36-SUM(BR36:DQ36)</f>
        <v>0</v>
      </c>
    </row>
    <row r="37" spans="2:123" x14ac:dyDescent="0.25">
      <c r="B37" s="16"/>
      <c r="D37" s="1">
        <f t="shared" si="11"/>
        <v>0</v>
      </c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  <c r="BP37" s="39"/>
      <c r="BQ37" s="39"/>
      <c r="BR37" s="40"/>
      <c r="BS37" s="40"/>
      <c r="BT37" s="40"/>
      <c r="BU37" s="40"/>
      <c r="BV37" s="40"/>
      <c r="BW37" s="40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40"/>
      <c r="CW37" s="40"/>
      <c r="CX37" s="40"/>
      <c r="CY37" s="40"/>
      <c r="CZ37" s="40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40"/>
      <c r="DR37" s="40"/>
      <c r="DS37" s="11">
        <f t="shared" ref="DS37:DS40" si="12">D37-SUM(BR37:DQ37)</f>
        <v>0</v>
      </c>
    </row>
    <row r="38" spans="2:123" x14ac:dyDescent="0.25">
      <c r="B38" s="16"/>
      <c r="D38" s="1">
        <f t="shared" si="11"/>
        <v>0</v>
      </c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  <c r="BP38" s="39"/>
      <c r="BQ38" s="39"/>
      <c r="BR38" s="40"/>
      <c r="BS38" s="40"/>
      <c r="BT38" s="40"/>
      <c r="BU38" s="40"/>
      <c r="BV38" s="40"/>
      <c r="BW38" s="40"/>
      <c r="BX38" s="40"/>
      <c r="BY38" s="40"/>
      <c r="BZ38" s="40"/>
      <c r="CA38" s="40"/>
      <c r="CB38" s="40"/>
      <c r="CC38" s="40"/>
      <c r="CD38" s="40"/>
      <c r="CE38" s="40"/>
      <c r="CF38" s="40"/>
      <c r="CG38" s="40"/>
      <c r="CH38" s="40"/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40"/>
      <c r="CW38" s="40"/>
      <c r="CX38" s="40"/>
      <c r="CY38" s="40"/>
      <c r="CZ38" s="40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40"/>
      <c r="DR38" s="40"/>
      <c r="DS38" s="11">
        <f t="shared" si="12"/>
        <v>0</v>
      </c>
    </row>
    <row r="39" spans="2:123" x14ac:dyDescent="0.25">
      <c r="B39" s="16"/>
      <c r="D39" s="1">
        <f t="shared" si="11"/>
        <v>0</v>
      </c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40"/>
      <c r="BS39" s="40"/>
      <c r="BT39" s="40"/>
      <c r="BU39" s="40"/>
      <c r="BV39" s="40"/>
      <c r="BW39" s="40"/>
      <c r="BX39" s="40"/>
      <c r="BY39" s="40"/>
      <c r="BZ39" s="40"/>
      <c r="CA39" s="40"/>
      <c r="CB39" s="40"/>
      <c r="CC39" s="40"/>
      <c r="CD39" s="40"/>
      <c r="CE39" s="40"/>
      <c r="CF39" s="40"/>
      <c r="CG39" s="40"/>
      <c r="CH39" s="40"/>
      <c r="CI39" s="40"/>
      <c r="CJ39" s="40"/>
      <c r="CK39" s="40"/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40"/>
      <c r="CW39" s="40"/>
      <c r="CX39" s="40"/>
      <c r="CY39" s="40"/>
      <c r="CZ39" s="40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40"/>
      <c r="DL39" s="40"/>
      <c r="DM39" s="40"/>
      <c r="DN39" s="40"/>
      <c r="DO39" s="40"/>
      <c r="DP39" s="40"/>
      <c r="DQ39" s="40"/>
      <c r="DR39" s="40"/>
      <c r="DS39" s="11">
        <f t="shared" si="12"/>
        <v>0</v>
      </c>
    </row>
    <row r="40" spans="2:123" x14ac:dyDescent="0.25">
      <c r="D40" s="31">
        <f t="shared" si="11"/>
        <v>0</v>
      </c>
      <c r="DS40" s="31">
        <f t="shared" si="12"/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llamar_formulariopresupuesto">
                <anchor>
                  <from>
                    <xdr:col>0</xdr:col>
                    <xdr:colOff>180975</xdr:colOff>
                    <xdr:row>0</xdr:row>
                    <xdr:rowOff>142875</xdr:rowOff>
                  </from>
                  <to>
                    <xdr:col>1</xdr:col>
                    <xdr:colOff>171450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B84DB-75EF-4905-B9E2-7A5D70776578}">
  <sheetPr codeName="Sheet1"/>
  <dimension ref="A2:B16"/>
  <sheetViews>
    <sheetView workbookViewId="0"/>
  </sheetViews>
  <sheetFormatPr defaultColWidth="9.140625" defaultRowHeight="15" x14ac:dyDescent="0.25"/>
  <cols>
    <col min="1" max="1" width="22.42578125" customWidth="1"/>
  </cols>
  <sheetData>
    <row r="2" spans="1:2" x14ac:dyDescent="0.25">
      <c r="A2" s="41"/>
      <c r="B2" t="s">
        <v>20</v>
      </c>
    </row>
    <row r="3" spans="1:2" x14ac:dyDescent="0.25">
      <c r="A3" s="41"/>
      <c r="B3" t="s">
        <v>21</v>
      </c>
    </row>
    <row r="4" spans="1:2" x14ac:dyDescent="0.25">
      <c r="A4" s="41"/>
      <c r="B4" t="s">
        <v>22</v>
      </c>
    </row>
    <row r="5" spans="1:2" x14ac:dyDescent="0.25">
      <c r="A5" s="41"/>
      <c r="B5" t="s">
        <v>23</v>
      </c>
    </row>
    <row r="6" spans="1:2" x14ac:dyDescent="0.25">
      <c r="A6" s="41"/>
      <c r="B6" t="s">
        <v>24</v>
      </c>
    </row>
    <row r="7" spans="1:2" x14ac:dyDescent="0.25">
      <c r="A7" s="41"/>
      <c r="B7" t="s">
        <v>25</v>
      </c>
    </row>
    <row r="8" spans="1:2" x14ac:dyDescent="0.25">
      <c r="A8" s="41"/>
      <c r="B8" t="s">
        <v>26</v>
      </c>
    </row>
    <row r="9" spans="1:2" x14ac:dyDescent="0.25">
      <c r="A9" s="41"/>
      <c r="B9" t="s">
        <v>27</v>
      </c>
    </row>
    <row r="10" spans="1:2" x14ac:dyDescent="0.25">
      <c r="A10" s="41"/>
      <c r="B10" t="s">
        <v>28</v>
      </c>
    </row>
    <row r="11" spans="1:2" x14ac:dyDescent="0.25">
      <c r="A11" s="41"/>
      <c r="B11" t="s">
        <v>29</v>
      </c>
    </row>
    <row r="12" spans="1:2" x14ac:dyDescent="0.25">
      <c r="A12" s="41"/>
      <c r="B12" t="s">
        <v>30</v>
      </c>
    </row>
    <row r="13" spans="1:2" x14ac:dyDescent="0.25">
      <c r="A13" s="41"/>
      <c r="B13" t="s">
        <v>31</v>
      </c>
    </row>
    <row r="14" spans="1:2" x14ac:dyDescent="0.25">
      <c r="A14" s="41"/>
    </row>
    <row r="15" spans="1:2" x14ac:dyDescent="0.25">
      <c r="A15" s="41"/>
    </row>
    <row r="16" spans="1:2" x14ac:dyDescent="0.25">
      <c r="A16" s="41">
        <f>SUM(A1:A15)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Hoja1</vt:lpstr>
      <vt:lpstr>Sheet1</vt:lpstr>
      <vt:lpstr>CELDAFA</vt:lpstr>
      <vt:lpstr>CELDAFB</vt:lpstr>
      <vt:lpstr>CELDAFC</vt:lpstr>
      <vt:lpstr>CELDAFD</vt:lpstr>
      <vt:lpstr>CELDAFINANCIEROS</vt:lpstr>
      <vt:lpstr>CELDAGASTOS</vt:lpstr>
      <vt:lpstr>CELDAINGRESOS</vt:lpstr>
      <vt:lpstr>CELDAINVERSION</vt:lpstr>
      <vt:lpstr>FINANCIEROS</vt:lpstr>
      <vt:lpstr>FORMULA1</vt:lpstr>
      <vt:lpstr>FORMULA2</vt:lpstr>
      <vt:lpstr>FORMULA3</vt:lpstr>
      <vt:lpstr>FORMULA4</vt:lpstr>
      <vt:lpstr>FORMULAFA</vt:lpstr>
      <vt:lpstr>FORMULAFB</vt:lpstr>
      <vt:lpstr>FORMULAFC</vt:lpstr>
      <vt:lpstr>FORMULAFD</vt:lpstr>
      <vt:lpstr>GASTOS</vt:lpstr>
      <vt:lpstr>INVERSION</vt:lpstr>
      <vt:lpstr>SALDOSBANCARIOS</vt:lpstr>
      <vt:lpstr>SELEC1</vt:lpstr>
      <vt:lpstr>TITULOFINANCIEROS</vt:lpstr>
      <vt:lpstr>TITULOGASTOS</vt:lpstr>
      <vt:lpstr>TITULOINGRESOS</vt:lpstr>
      <vt:lpstr>TITULOINVERSION</vt:lpstr>
      <vt:lpstr>TITULOSALDOS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Jonny Martinez</dc:creator>
  <cp:lastModifiedBy>Raul Guerrero Pedraza</cp:lastModifiedBy>
  <dcterms:created xsi:type="dcterms:W3CDTF">2019-03-29T17:55:40Z</dcterms:created>
  <dcterms:modified xsi:type="dcterms:W3CDTF">2019-04-03T01:30:23Z</dcterms:modified>
</cp:coreProperties>
</file>